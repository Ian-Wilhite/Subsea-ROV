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lue Robotic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<sst xmlns="http://schemas.openxmlformats.org/spreadsheetml/2006/main" count="90" uniqueCount="90">
  <si>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Feature</t>
  </si>
  <si>
    <t>Product</t>
  </si>
  <si>
    <t xml:space="preserve">Qty Req.</t>
  </si>
  <si>
    <t xml:space="preserve">Qty to buy</t>
  </si>
  <si>
    <t xml:space="preserve">Unit Price</t>
  </si>
  <si>
    <t>Link</t>
  </si>
  <si>
    <t>Docs</t>
  </si>
  <si>
    <t>Notes</t>
  </si>
  <si>
    <t xml:space="preserve">`26 Total</t>
  </si>
  <si>
    <t xml:space="preserve">Net Total</t>
  </si>
  <si>
    <t xml:space="preserve">`26 Capstone Total</t>
  </si>
  <si>
    <t>Propulsion</t>
  </si>
  <si>
    <t>Subtotal</t>
  </si>
  <si>
    <t xml:space="preserve">Thrusters </t>
  </si>
  <si>
    <t>T200</t>
  </si>
  <si>
    <t>https://bluerobotics.com/store/rov/bluerov2-components-spares/t200-thruster-brov2-spare-r1-vp/</t>
  </si>
  <si>
    <t xml:space="preserve">blue robotics, reach out for discount</t>
  </si>
  <si>
    <t>Tarriffs</t>
  </si>
  <si>
    <t>ESC</t>
  </si>
  <si>
    <t xml:space="preserve">Basic ESC</t>
  </si>
  <si>
    <t>https://bluerobotics.com/store/thrusters/speed-controllers/besc30-r3/</t>
  </si>
  <si>
    <t>Shipping</t>
  </si>
  <si>
    <t xml:space="preserve">Taxes (8.25%)</t>
  </si>
  <si>
    <t>Compute</t>
  </si>
  <si>
    <t xml:space="preserve">Contingency (10%)</t>
  </si>
  <si>
    <t xml:space="preserve">Onboard Computer</t>
  </si>
  <si>
    <t xml:space="preserve">Raspberry Pi</t>
  </si>
  <si>
    <t>https://www.pishop.us/product/raspberry-pi-5-16gb/?src=raspberrypi</t>
  </si>
  <si>
    <t xml:space="preserve">pi 5, no add-ons</t>
  </si>
  <si>
    <t>Total</t>
  </si>
  <si>
    <t xml:space="preserve">Flight Controller</t>
  </si>
  <si>
    <t xml:space="preserve">Navigator Flight Controller</t>
  </si>
  <si>
    <t>https://bluerobotics.com/store/comm-control-power/control/navigator/</t>
  </si>
  <si>
    <t>Telemetry</t>
  </si>
  <si>
    <t xml:space="preserve">depth sensor</t>
  </si>
  <si>
    <t>https://bluerobotics.com/store/sensors-cameras/sensors/bar-depth-pressure-sensor/</t>
  </si>
  <si>
    <t xml:space="preserve">Depth-rated Camera</t>
  </si>
  <si>
    <t xml:space="preserve">Insta360 Camera</t>
  </si>
  <si>
    <t>https://www.bestbuy.com/product/insta360-x4-8k-360-degree-action-camera-black/J39VLTZW28/sku/6578876?utm_source=feed?extStoreId=332&amp;ref=212&amp;loc=18644411707&amp;gclsrc=aw.ds&amp;gad_source=1&amp;gad_campaignid=18644447488&amp;gclid=Cj0KCQiA5uDIBhDAARIsAOxj0CHr-MfdHI4RXRgfzPYy8kjEJvhnO2GW1jjrYF0k5QFzBMNkKXj3SWAaAq-XEALw_wcB</t>
  </si>
  <si>
    <t>8k</t>
  </si>
  <si>
    <t xml:space="preserve">Lifetime Subsea ROV Total</t>
  </si>
  <si>
    <t xml:space="preserve">Ground Control</t>
  </si>
  <si>
    <t xml:space="preserve">User Interface</t>
  </si>
  <si>
    <t xml:space="preserve">Logitech USB controller</t>
  </si>
  <si>
    <t>https://www.logitechg.com/en-us/shop/p/f310-gamepad.940-000110?utm_source=google</t>
  </si>
  <si>
    <t xml:space="preserve">GCS Computer</t>
  </si>
  <si>
    <t xml:space="preserve">second Raspberry Pi</t>
  </si>
  <si>
    <t>https://www.raspberrypi.com/products/raspberry-pi-3-model-b/</t>
  </si>
  <si>
    <t xml:space="preserve">donated - IW &amp; HH</t>
  </si>
  <si>
    <t>Tether</t>
  </si>
  <si>
    <t xml:space="preserve">CAT6 Ethernet</t>
  </si>
  <si>
    <t>https://www.amazon.com/VOIETOLT-Ethernet-Internet-Waterproof-Supports/dp/B0C3RDDQJ1/ref=sr_1_1_sspa?crid=VWHNMMZG7870&amp;dib=eyJ2IjoiMSJ9.MXPRkzlvnMyQ1ZqjCUM811qllSARddXN4tpWqshetYESRoKJEzbVCuf-7nLvlcaiox9CTZU36P2Oe0b0ZaEYk1mcvXFcPehmWVm_PQIhol9EP9-sRiwDrlnlPF33tYApmN0xqTBEFAOK-VL2FBrxCQg3HQlTLnLS4yGBq70ZAnEui-wKtZEZu-osqMGE7M_4iokGKd-qH0_yTv1QHB0lC214P2VNCIRecATI2VaexA1I_Z2hDGN2VeIz3lb3Jpa585Ba7CAQ5j6-3pQb3eARLQhRYVHWpt96K2uAckebbzI.4QLGma6DaRWtMhXG4ri063oVY2lFTFeBb2AaH5LyJ9g&amp;dib_tag=se&amp;keywords=waterproof%2Bethernet%2Bcables&amp;qid=1762378541&amp;s=electronics&amp;sprefix=waterproof%2Bethernet%2Bcables%2Celectronics%2C137&amp;sr=1-1-spons&amp;sp_csd=d2lkZ2V0TmFtZT1zcF9hdGY&amp;th=1</t>
  </si>
  <si>
    <t>100ft</t>
  </si>
  <si>
    <t>Power</t>
  </si>
  <si>
    <t xml:space="preserve">Power Dist.</t>
  </si>
  <si>
    <t xml:space="preserve">Power Distribution Panel</t>
  </si>
  <si>
    <t>https://store.ctr-electronics.com/products/pdp-2</t>
  </si>
  <si>
    <t xml:space="preserve">donated - RAD Lab</t>
  </si>
  <si>
    <t>Battery</t>
  </si>
  <si>
    <t xml:space="preserve">car battery</t>
  </si>
  <si>
    <t>https://www.amazon.com/24v-60Ah-LiFePO4-Lithium-Battery/dp/B0F6CKKFBZ/ref=sr_1_1_sspa?crid=2AUK0VWCHQO5M&amp;dib=eyJ2IjoiMSJ9.n_wiKX_EOQ8TqRZyqeT-fx-O_yot6O4gzu3e0qDVXgij4kaDUB17CPe5i17Gj0R1B0N7JBm5aG7fRfbMYyZj2Lfx67z7ow_pMTlpn7reu511BFN-rz9f2dOYBidh8TdG0SoFRLrl66IQQCfWe-og_hzZ4wJ4fwr73CixXbRmAQMBl-uOUQf6XLJAjX4-bqW3xboC63OkS4g1K3HgmFzLgQY0TSkC8eP0GPqqn_Wx1QXVY1_Uu0kXOUekphfEM2FcLfrcbxPpBtV-0lfqvG8D9IozP_fepRfYrolw4mHztxQ.FAsHyDS90h7n__l0qzvQn5_7tqQQwOG4BmvdU2s0c9U&amp;dib_tag=se&amp;keywords=24v%2Bbattery&amp;qid=1762207243&amp;s=electronics&amp;sprefix=24v%2Bbattery%2Celectronics%2C167&amp;sr=1-1-spons&amp;sp_csd=d2lkZ2V0TmFtZT1zcF9hdGY&amp;th=1</t>
  </si>
  <si>
    <t>amazon</t>
  </si>
  <si>
    <t>Fuses</t>
  </si>
  <si>
    <t xml:space="preserve">MX5 30A</t>
  </si>
  <si>
    <t>https://crimpsupply.com/circuit-protection/circuit-breakers/30-amp-auto-reset-atc-ato-blade-style-circuit-breakers.html</t>
  </si>
  <si>
    <t xml:space="preserve">per ESC</t>
  </si>
  <si>
    <t xml:space="preserve">Emergency Stop</t>
  </si>
  <si>
    <t xml:space="preserve">Estop button</t>
  </si>
  <si>
    <t>https://www.amazon.com/mxuteuk-Mushroom-Emergency-Warranty-HB2-ES544/dp/B07R9QTBG7/ref=sr_1_3?crid=L06SUUFXHJ1A&amp;dib=eyJ2IjoiMSJ9.a6XX-K4wSCQmoDhA_V7gTMLB1kL5BSz42C7ERTkey693wGFVHGICknwyeG0Mj8AkKqpSAUeeHFjGIITxZOYfFXTbxAUg0c9Soj-idUAPQ2TOLtXi9QDrY4RRydkzkikfscGE5RTqHau1MhawDWVhD4PwAekMbOoi0TEdkh9eyNkgAjm_lsWdKjQU5rn3hfTZG6bHUpJTcNNIPKW7EPg75y9EauTPCFFVE9Ilw_LCnyg.kyQldbrZaVUYWIf5AYtWrCKo8DAqYKECU-9Z0QFCyZc&amp;dib_tag=se&amp;keywords=estop&amp;qid=1762809456&amp;sprefix=estop%2Caps%2C150&amp;sr=8-3&amp;th=1</t>
  </si>
  <si>
    <t xml:space="preserve">required for some testing facilites</t>
  </si>
  <si>
    <t>Connectors</t>
  </si>
  <si>
    <t xml:space="preserve">XT 30/60/90s</t>
  </si>
  <si>
    <t xml:space="preserve">IW donate</t>
  </si>
  <si>
    <t>Mechanical</t>
  </si>
  <si>
    <t>Chassis</t>
  </si>
  <si>
    <t xml:space="preserve">20qt tub</t>
  </si>
  <si>
    <t>https://www.walmart.com/ip/Sterilite-20-Qt-Gasket-Box-Stackable-Storage-Bin-with-Latching-Lid-6-Pack/633637534?adsRedirect=true</t>
  </si>
  <si>
    <t xml:space="preserve">(L x W X H): 12 x 8.62 x 9.62 inches</t>
  </si>
  <si>
    <t xml:space="preserve">Misc 3d prints</t>
  </si>
  <si>
    <t xml:space="preserve">Bambu PLA</t>
  </si>
  <si>
    <t xml:space="preserve">donated - TURTLE Robotics</t>
  </si>
  <si>
    <t xml:space="preserve">Marine Adhesive Sealant</t>
  </si>
  <si>
    <t>Caulk</t>
  </si>
  <si>
    <t>https://www.amazon.com/10oz-Marine-Adhesive-Sealant-White/dp/B0CNBFSCZF/ref=sr_1_1_sspa?crid=23PKOM0BE2K3O&amp;dib=eyJ2IjoiMSJ9.OYhil3BClwfNUTkN9-G8yXFrsyveTdm3gl2XXepr-afXtPaXYQTZa8_B4pVd2gkoG3yJJe_k4sGANYGz3vK_PSo2Eum-mpQGcDuNz19ErTN-7rzEROjXNpKMkonQ_uEoX1J7NO36o9ugblVZTV20x5Px9Z5ZLpqpkPWsO8hWYv11eGAkLsBlmnodXhqOLekNc3ZTtYO6v9yt_PjWEQPzcJMclw5qOngvZCXQKL1Tbck.W93Uksn6kXereFLBhKXPAw6rrUaETayxoiBlflefWBw&amp;dib_tag=se&amp;keywords=depth+rated+boat+marine+caulk&amp;qid=1762809376&amp;sprefix=depth+rated+boat+marine+caulk%2Caps%2C155&amp;sr=8-1-spons&amp;sp_csd=d2lkZ2V0TmFtZT1zcF9hdGY&amp;psc=1</t>
  </si>
  <si>
    <t xml:space="preserve">amazon </t>
  </si>
  <si>
    <t xml:space="preserve">Caulk Gun</t>
  </si>
  <si>
    <t>Fasteners</t>
  </si>
  <si>
    <t>Screw</t>
  </si>
  <si>
    <t>https://www.mcmaster.com/91292A122/</t>
  </si>
  <si>
    <t xml:space="preserve">pack of 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</si>
</sst>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>
    <font>
      <sz val="10.000000"/>
      <color indexed="64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i/>
      <color theme="1"/>
      <name val="Arial"/>
      <scheme val="minor"/>
    </font>
    <font>
      <u/>
      <color indexed="4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 applyAlignment="1">
      <alignment readingOrder="0"/>
    </xf>
    <xf fontId="1" fillId="0" borderId="1" numFmtId="0" xfId="0" applyFont="1" applyBorder="1" applyAlignment="1">
      <alignment readingOrder="0"/>
    </xf>
    <xf fontId="2" fillId="0" borderId="2" numFmtId="0" xfId="0" applyFont="1" applyBorder="1" applyAlignment="1">
      <alignment readingOrder="0"/>
    </xf>
    <xf fontId="2" fillId="0" borderId="2" numFmtId="164" xfId="0" applyNumberFormat="1" applyFont="1" applyBorder="1" applyAlignment="1">
      <alignment readingOrder="0"/>
    </xf>
    <xf fontId="2" fillId="0" borderId="2" numFmtId="0" xfId="0" applyFont="1" applyBorder="1" applyAlignment="1">
      <alignment readingOrder="0" wrapText="1"/>
    </xf>
    <xf fontId="2" fillId="0" borderId="3" numFmtId="164" xfId="0" applyNumberFormat="1" applyFont="1" applyBorder="1" applyAlignment="1">
      <alignment readingOrder="0"/>
    </xf>
    <xf fontId="2" fillId="0" borderId="1" numFmtId="0" xfId="0" applyFont="1" applyBorder="1" applyAlignment="1">
      <alignment readingOrder="0"/>
    </xf>
    <xf fontId="3" fillId="0" borderId="3" numFmtId="0" xfId="0" applyFont="1" applyBorder="1"/>
    <xf fontId="4" fillId="0" borderId="4" numFmtId="0" xfId="0" applyFont="1" applyBorder="1" applyAlignment="1">
      <alignment horizontal="center" readingOrder="0" textRotation="90" vertical="center"/>
    </xf>
    <xf fontId="5" fillId="0" borderId="5" numFmtId="0" xfId="0" applyFont="1" applyBorder="1" applyAlignment="1">
      <alignment readingOrder="0"/>
    </xf>
    <xf fontId="1" fillId="0" borderId="4" numFmtId="164" xfId="0" applyNumberFormat="1" applyFont="1" applyBorder="1" applyAlignment="1">
      <alignment readingOrder="0"/>
    </xf>
    <xf fontId="1" fillId="0" borderId="0" numFmtId="0" xfId="0" applyFont="1" applyAlignment="1">
      <alignment readingOrder="0" wrapText="1"/>
    </xf>
    <xf fontId="1" fillId="0" borderId="4" numFmtId="164" xfId="0" applyNumberFormat="1" applyFont="1" applyBorder="1"/>
    <xf fontId="1" fillId="0" borderId="5" numFmtId="164" xfId="0" applyNumberFormat="1" applyFont="1" applyBorder="1"/>
    <xf fontId="1" fillId="0" borderId="6" numFmtId="0" xfId="0" applyFont="1" applyBorder="1" applyAlignment="1">
      <alignment readingOrder="0"/>
    </xf>
    <xf fontId="1" fillId="0" borderId="7" numFmtId="164" xfId="0" applyNumberFormat="1" applyFont="1" applyBorder="1"/>
    <xf fontId="3" fillId="0" borderId="4" numFmtId="0" xfId="0" applyFont="1" applyBorder="1"/>
    <xf fontId="1" fillId="0" borderId="0" numFmtId="0" xfId="0" applyFont="1" applyAlignment="1">
      <alignment readingOrder="0"/>
    </xf>
    <xf fontId="1" fillId="0" borderId="5" numFmtId="0" xfId="0" applyFont="1" applyBorder="1" applyAlignment="1">
      <alignment readingOrder="0"/>
    </xf>
    <xf fontId="6" fillId="0" borderId="0" numFmtId="0" xfId="0" applyFont="1" applyAlignment="1">
      <alignment readingOrder="0"/>
    </xf>
    <xf fontId="2" fillId="0" borderId="4" numFmtId="164" xfId="0" applyNumberFormat="1" applyFont="1" applyBorder="1"/>
    <xf fontId="1" fillId="0" borderId="4" numFmtId="0" xfId="0" applyFont="1" applyBorder="1" applyAlignment="1">
      <alignment readingOrder="0"/>
    </xf>
    <xf fontId="1" fillId="0" borderId="5" numFmtId="164" xfId="0" applyNumberFormat="1" applyFont="1" applyBorder="1" applyAlignment="1">
      <alignment readingOrder="0"/>
    </xf>
    <xf fontId="3" fillId="0" borderId="8" numFmtId="0" xfId="0" applyFont="1" applyBorder="1"/>
    <xf fontId="1" fillId="0" borderId="9" numFmtId="0" xfId="0" applyFont="1" applyBorder="1"/>
    <xf fontId="1" fillId="0" borderId="10" numFmtId="0" xfId="0" applyFont="1" applyBorder="1"/>
    <xf fontId="1" fillId="0" borderId="8" numFmtId="164" xfId="0" applyNumberFormat="1" applyFont="1" applyBorder="1" applyAlignment="1">
      <alignment readingOrder="0"/>
    </xf>
    <xf fontId="1" fillId="0" borderId="9" numFmtId="0" xfId="0" applyFont="1" applyBorder="1" applyAlignment="1">
      <alignment wrapText="1"/>
    </xf>
    <xf fontId="2" fillId="0" borderId="6" numFmtId="0" xfId="0" applyFont="1" applyBorder="1" applyAlignment="1">
      <alignment horizontal="center" readingOrder="0" textRotation="90" vertical="center"/>
    </xf>
    <xf fontId="1" fillId="0" borderId="8" numFmtId="0" xfId="0" applyFont="1" applyBorder="1" applyAlignment="1">
      <alignment readingOrder="0"/>
    </xf>
    <xf fontId="1" fillId="0" borderId="10" numFmtId="164" xfId="0" applyNumberFormat="1" applyFont="1" applyBorder="1"/>
    <xf fontId="2" fillId="0" borderId="3" numFmtId="164" xfId="0" applyNumberFormat="1" applyFont="1" applyBorder="1"/>
    <xf fontId="1" fillId="0" borderId="6" numFmtId="164" xfId="0" applyNumberFormat="1" applyFont="1" applyBorder="1" applyAlignment="1">
      <alignment readingOrder="0"/>
    </xf>
    <xf fontId="1" fillId="0" borderId="11" numFmtId="0" xfId="0" applyFont="1" applyBorder="1" applyAlignment="1">
      <alignment readingOrder="0"/>
    </xf>
    <xf fontId="1" fillId="0" borderId="11" numFmtId="0" xfId="0" applyFont="1" applyBorder="1" applyAlignment="1">
      <alignment readingOrder="0" wrapText="1"/>
    </xf>
    <xf fontId="1" fillId="0" borderId="9" numFmtId="0" xfId="0" applyFont="1" applyBorder="1" applyAlignment="1">
      <alignment readingOrder="0"/>
    </xf>
    <xf fontId="1" fillId="0" borderId="5" numFmtId="0" xfId="0" applyFont="1" applyBorder="1"/>
    <xf fontId="1" fillId="0" borderId="0" numFmtId="0" xfId="0" applyFont="1" applyAlignment="1">
      <alignment wrapText="1"/>
    </xf>
    <xf fontId="1" fillId="0" borderId="8" numFmtId="16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bluerobotics.com/store/rov/bluerov2-components-spares/t200-thruster-brov2-spare-r1-vp/" TargetMode="External"/><Relationship  Id="rId10" Type="http://schemas.openxmlformats.org/officeDocument/2006/relationships/hyperlink" Target="https://store.ctr-electronics.com/products/pdp-2" TargetMode="External"/><Relationship  Id="rId11" Type="http://schemas.openxmlformats.org/officeDocument/2006/relationships/hyperlink" Target="https://www.amazon.com/24v-60Ah-LiFePO4-Lithium-Battery/dp/B0F6CKKFBZ/ref=sr_1_1_sspa?crid=2AUK0VWCHQO5M&amp;dib=eyJ2IjoiMSJ9.n_wiKX_EOQ8TqRZyqeT-fx-O_yot6O4gzu3e0qDVXgij4kaDUB17CPe5i17Gj0R1B0N7JBm5aG7fRfbMYyZj2Lfx67z7ow_pMTlpn7reu511BFN-rz9f2dOYBidh8TdG0SoFRLrl66IQQCfWe-og_hzZ4wJ4fwr73CixXbRmAQMBl-uOUQf6XLJAjX4-bqW3xboC63OkS4g1K3HgmFzLgQY0TSkC8eP0GPqqn_Wx1QXVY1_Uu0kXOUekphfEM2FcLfrcbxPpBtV-0lfqvG8D9IozP_fepRfYrolw4mHztxQ.FAsHyDS90h7n__l0qzvQn5_7tqQQwOG4BmvdU2s0c9U&amp;dib_tag=se&amp;keywords=24v%2Bbattery&amp;qid=1762207243&amp;s=electronics&amp;sprefix=24v%2Bbattery%2Celectronics%2C167&amp;sr=1-1-spons&amp;sp_csd=d2lkZ2V0TmFtZT1zcF9hdGY&amp;th=1" TargetMode="External"/><Relationship  Id="rId12" Type="http://schemas.openxmlformats.org/officeDocument/2006/relationships/hyperlink" Target="https://crimpsupply.com/circuit-protection/circuit-breakers/30-amp-auto-reset-atc-ato-blade-style-circuit-breakers.html" TargetMode="External"/><Relationship  Id="rId13" Type="http://schemas.openxmlformats.org/officeDocument/2006/relationships/hyperlink" Target="https://www.amazon.com/mxuteuk-Mushroom-Emergency-Warranty-HB2-ES544/dp/B07R9QTBG7/ref=sr_1_3?crid=L06SUUFXHJ1A&amp;dib=eyJ2IjoiMSJ9.a6XX-K4wSCQmoDhA_V7gTMLB1kL5BSz42C7ERTkey693wGFVHGICknwyeG0Mj8AkKqpSAUeeHFjGIITxZOYfFXTbxAUg0c9Soj-idUAPQ2TOLtXi9QDrY4RRydkzkikfscGE5RTqHau1MhawDWVhD4PwAekMbOoi0TEdkh9eyNkgAjm_lsWdKjQU5rn3hfTZG6bHUpJTcNNIPKW7EPg75y9EauTPCFFVE9Ilw_LCnyg.kyQldbrZaVUYWIf5AYtWrCKo8DAqYKECU-9Z0QFCyZc&amp;dib_tag=se&amp;keywords=estop&amp;qid=1762809456&amp;sprefix=estop%2Caps%2C150&amp;sr=8-3&amp;th=1" TargetMode="External"/><Relationship  Id="rId14" Type="http://schemas.openxmlformats.org/officeDocument/2006/relationships/hyperlink" Target="https://www.walmart.com/ip/Sterilite-20-Qt-Gasket-Box-Stackable-Storage-Bin-with-Latching-Lid-6-Pack/633637534?adsRedirect=true" TargetMode="External"/><Relationship  Id="rId15" Type="http://schemas.openxmlformats.org/officeDocument/2006/relationships/hyperlink" Target="https://www.amazon.com/10oz-Marine-Adhesive-Sealant-White/dp/B0CNBFSCZF/ref=sr_1_1_sspa?crid=23PKOM0BE2K3O&amp;dib=eyJ2IjoiMSJ9.OYhil3BClwfNUTkN9-G8yXFrsyveTdm3gl2XXepr-afXtPaXYQTZa8_B4pVd2gkoG3yJJe_k4sGANYGz3vK_PSo2Eum-mpQGcDuNz19ErTN-7rzEROjXNpKMkonQ_uEoX1J7NO36o9ugblVZTV20x5Px9Z5ZLpqpkPWsO8hWYv11eGAkLsBlmnodXhqOLekNc3ZTtYO6v9yt_PjWEQPzcJMclw5qOngvZCXQKL1Tbck.W93Uksn6kXereFLBhKXPAw6rrUaETayxoiBlflefWBw&amp;dib_tag=se&amp;keywords=depth+rated+boat+marine+caulk&amp;qid=1762809376&amp;sprefix=depth+rated+boat+marine+caulk%2Caps%2C155&amp;sr=8-1-spons&amp;sp_csd=d2lkZ2V0TmFtZT1zcF9hdGY&amp;psc=1" TargetMode="External"/><Relationship  Id="rId16" Type="http://schemas.openxmlformats.org/officeDocument/2006/relationships/hyperlink" Target="https://www.mcmaster.com/91292A122/" TargetMode="External"/><Relationship  Id="rId2" Type="http://schemas.openxmlformats.org/officeDocument/2006/relationships/hyperlink" Target="https://bluerobotics.com/store/thrusters/speed-controllers/besc30-r3/" TargetMode="External"/><Relationship  Id="rId3" Type="http://schemas.openxmlformats.org/officeDocument/2006/relationships/hyperlink" Target="https://www.pishop.us/product/raspberry-pi-5-16gb/?src=raspberrypi" TargetMode="External"/><Relationship  Id="rId4" Type="http://schemas.openxmlformats.org/officeDocument/2006/relationships/hyperlink" Target="https://bluerobotics.com/store/comm-control-power/control/navigator/" TargetMode="External"/><Relationship  Id="rId5" Type="http://schemas.openxmlformats.org/officeDocument/2006/relationships/hyperlink" Target="https://bluerobotics.com/store/sensors-cameras/sensors/bar-depth-pressure-sensor/" TargetMode="External"/><Relationship  Id="rId6" Type="http://schemas.openxmlformats.org/officeDocument/2006/relationships/hyperlink" Target="https://www.bestbuy.com/product/insta360-x4-8k-360-degree-action-camera-black/J39VLTZW28/sku/6578876?utm_source=feed?extStoreId=332&amp;ref=212&amp;loc=18644411707&amp;gclsrc=aw.ds&amp;gad_source=1&amp;gad_campaignid=18644447488&amp;gclid=Cj0KCQiA5uDIBhDAARIsAOxj0CHr-MfdHI4RXRgfzPYy8kjEJvhnO2GW1jjrYF0k5QFzBMNkKXj3SWAaAq-XEALw_wcB" TargetMode="External"/><Relationship  Id="rId7" Type="http://schemas.openxmlformats.org/officeDocument/2006/relationships/hyperlink" Target="https://www.logitechg.com/en-us/shop/p/f310-gamepad.940-000110?utm_source=google" TargetMode="External"/><Relationship  Id="rId8" Type="http://schemas.openxmlformats.org/officeDocument/2006/relationships/hyperlink" Target="https://www.raspberrypi.com/products/raspberry-pi-3-model-b/" TargetMode="External"/><Relationship  Id="rId9" Type="http://schemas.openxmlformats.org/officeDocument/2006/relationships/hyperlink" Target="https://www.amazon.com/VOIETOLT-Ethernet-Internet-Waterproof-Supports/dp/B0C3RDDQJ1/ref=sr_1_1_sspa?crid=VWHNMMZG7870&amp;dib=eyJ2IjoiMSJ9.MXPRkzlvnMyQ1ZqjCUM811qllSARddXN4tpWqshetYESRoKJEzbVCuf-7nLvlcaiox9CTZU36P2Oe0b0ZaEYk1mcvXFcPehmWVm_PQIhol9EP9-sRiwDrlnlPF33tYApmN0xqTBEFAOK-VL2FBrxCQg3HQlTLnLS4yGBq70ZAnEui-wKtZEZu-osqMGE7M_4iokGKd-qH0_yTv1QHB0lC214P2VNCIRecATI2VaexA1I_Z2hDGN2VeIz3lb3Jpa585Ba7CAQ5j6-3pQb3eARLQhRYVHWpt96K2uAckebbzI.4QLGma6DaRWtMhXG4ri063oVY2lFTFeBb2AaH5LyJ9g&amp;dib_tag=se&amp;keywords=waterproof%2Bethernet%2Bcables&amp;qid=1762378541&amp;s=electronics&amp;sprefix=waterproof%2Bethernet%2Bcables%2Celectronics%2C137&amp;sr=1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3.25"/>
    <col customWidth="1" min="2" max="2" width="4.25"/>
    <col customWidth="1" min="3" max="4" width="20.879999999999999"/>
    <col customWidth="1" min="5" max="6" width="10"/>
    <col customWidth="1" min="8" max="9" width="7.75"/>
    <col customWidth="1" min="10" max="10" width="44.25"/>
    <col customWidth="1" min="11" max="12" width="9.6300000000000008"/>
    <col customWidth="1" min="14" max="14" width="15.75"/>
  </cols>
  <sheetData>
    <row r="2">
      <c r="B2" s="1"/>
      <c r="C2" s="2" t="s">
        <v>0</v>
      </c>
      <c r="D2" s="2" t="s">
        <v>1</v>
      </c>
      <c r="E2" s="2" t="s">
        <v>2</v>
      </c>
      <c r="F2" s="2" t="s">
        <v>3</v>
      </c>
      <c r="G2" s="3" t="s">
        <v>4</v>
      </c>
      <c r="H2" s="2" t="s">
        <v>5</v>
      </c>
      <c r="I2" s="2" t="s">
        <v>6</v>
      </c>
      <c r="J2" s="4" t="s">
        <v>7</v>
      </c>
      <c r="K2" s="2" t="s">
        <v>8</v>
      </c>
      <c r="L2" s="5" t="s">
        <v>9</v>
      </c>
      <c r="N2" s="6" t="s">
        <v>10</v>
      </c>
      <c r="O2" s="7"/>
    </row>
    <row r="3">
      <c r="B3" s="8" t="s">
        <v>11</v>
      </c>
      <c r="F3" s="9"/>
      <c r="G3" s="10">
        <v>0</v>
      </c>
      <c r="J3" s="11"/>
      <c r="K3" s="12">
        <f t="shared" ref="K3:K10" si="0">if(OR(G3=0,F3=0), 0, G3*F3)</f>
        <v>0</v>
      </c>
      <c r="L3" s="13">
        <f t="shared" ref="L3:L32" si="1">G3*E3</f>
        <v>0</v>
      </c>
      <c r="N3" s="14" t="s">
        <v>12</v>
      </c>
      <c r="O3" s="15">
        <f>sum(K:K)</f>
        <v>3053.21</v>
      </c>
    </row>
    <row r="4">
      <c r="B4" s="16"/>
      <c r="C4" s="17" t="s">
        <v>13</v>
      </c>
      <c r="D4" s="17" t="s">
        <v>14</v>
      </c>
      <c r="E4" s="17">
        <v>8</v>
      </c>
      <c r="F4" s="18">
        <v>8</v>
      </c>
      <c r="G4" s="10">
        <v>230</v>
      </c>
      <c r="H4" s="19" t="s">
        <v>15</v>
      </c>
      <c r="J4" s="11" t="s">
        <v>16</v>
      </c>
      <c r="K4" s="20">
        <f t="shared" si="0"/>
        <v>1840</v>
      </c>
      <c r="L4" s="13">
        <f t="shared" si="1"/>
        <v>1840</v>
      </c>
      <c r="N4" s="21" t="s">
        <v>17</v>
      </c>
      <c r="O4" s="22">
        <v>194.40000000000001</v>
      </c>
    </row>
    <row r="5">
      <c r="B5" s="16"/>
      <c r="C5" s="17" t="s">
        <v>18</v>
      </c>
      <c r="D5" s="17" t="s">
        <v>19</v>
      </c>
      <c r="E5" s="17">
        <v>8</v>
      </c>
      <c r="F5" s="18">
        <v>8</v>
      </c>
      <c r="G5" s="10">
        <v>40</v>
      </c>
      <c r="H5" s="19" t="s">
        <v>20</v>
      </c>
      <c r="J5" s="11" t="s">
        <v>16</v>
      </c>
      <c r="K5" s="20">
        <f t="shared" si="0"/>
        <v>320</v>
      </c>
      <c r="L5" s="13">
        <f t="shared" si="1"/>
        <v>320</v>
      </c>
      <c r="N5" s="21" t="s">
        <v>21</v>
      </c>
      <c r="O5" s="22">
        <v>60</v>
      </c>
    </row>
    <row r="6">
      <c r="B6" s="23"/>
      <c r="C6" s="24"/>
      <c r="D6" s="24"/>
      <c r="E6" s="24"/>
      <c r="F6" s="25"/>
      <c r="G6" s="26">
        <v>0</v>
      </c>
      <c r="H6" s="24"/>
      <c r="I6" s="24"/>
      <c r="J6" s="27"/>
      <c r="K6" s="12">
        <f t="shared" si="0"/>
        <v>0</v>
      </c>
      <c r="L6" s="13">
        <f t="shared" si="1"/>
        <v>0</v>
      </c>
      <c r="N6" s="21" t="s">
        <v>22</v>
      </c>
      <c r="O6" s="13">
        <f>O3*0.0825</f>
        <v>251.889825</v>
      </c>
    </row>
    <row r="7">
      <c r="B7" s="28" t="s">
        <v>23</v>
      </c>
      <c r="F7" s="18"/>
      <c r="G7" s="10">
        <v>0</v>
      </c>
      <c r="J7" s="11"/>
      <c r="K7" s="12">
        <f t="shared" si="0"/>
        <v>0</v>
      </c>
      <c r="L7" s="13">
        <f t="shared" si="1"/>
        <v>0</v>
      </c>
      <c r="N7" s="29" t="s">
        <v>24</v>
      </c>
      <c r="O7" s="30">
        <f>sum(O3:O6)*0.1</f>
        <v>355.94998249999998</v>
      </c>
    </row>
    <row r="8">
      <c r="B8" s="16"/>
      <c r="C8" s="17" t="s">
        <v>25</v>
      </c>
      <c r="D8" s="17" t="s">
        <v>26</v>
      </c>
      <c r="E8" s="17">
        <v>1</v>
      </c>
      <c r="F8" s="18">
        <v>1</v>
      </c>
      <c r="G8" s="10">
        <v>120</v>
      </c>
      <c r="H8" s="19" t="s">
        <v>27</v>
      </c>
      <c r="J8" s="11" t="s">
        <v>28</v>
      </c>
      <c r="K8" s="20">
        <f t="shared" si="0"/>
        <v>120</v>
      </c>
      <c r="L8" s="13">
        <f t="shared" si="1"/>
        <v>120</v>
      </c>
      <c r="N8" s="1" t="s">
        <v>29</v>
      </c>
      <c r="O8" s="31">
        <f>SUM(O3:O7)</f>
        <v>3915.4498079999998</v>
      </c>
    </row>
    <row r="9">
      <c r="B9" s="16"/>
      <c r="C9" s="17" t="s">
        <v>30</v>
      </c>
      <c r="D9" s="17" t="s">
        <v>31</v>
      </c>
      <c r="E9" s="17">
        <v>1</v>
      </c>
      <c r="F9" s="18">
        <v>1</v>
      </c>
      <c r="G9" s="10">
        <v>220</v>
      </c>
      <c r="H9" s="19" t="s">
        <v>32</v>
      </c>
      <c r="J9" s="11" t="s">
        <v>16</v>
      </c>
      <c r="K9" s="20">
        <f t="shared" si="0"/>
        <v>220</v>
      </c>
      <c r="L9" s="13">
        <f t="shared" si="1"/>
        <v>220</v>
      </c>
    </row>
    <row r="10">
      <c r="B10" s="16"/>
      <c r="C10" s="17" t="s">
        <v>33</v>
      </c>
      <c r="D10" s="17" t="s">
        <v>34</v>
      </c>
      <c r="E10" s="17">
        <v>1</v>
      </c>
      <c r="F10" s="18">
        <v>1</v>
      </c>
      <c r="G10" s="10">
        <v>80</v>
      </c>
      <c r="H10" s="19" t="s">
        <v>35</v>
      </c>
      <c r="J10" s="11" t="s">
        <v>16</v>
      </c>
      <c r="K10" s="20">
        <f t="shared" si="0"/>
        <v>80</v>
      </c>
      <c r="L10" s="13">
        <f t="shared" si="1"/>
        <v>80</v>
      </c>
    </row>
    <row r="11">
      <c r="B11" s="16"/>
      <c r="C11" s="17" t="s">
        <v>36</v>
      </c>
      <c r="D11" s="17" t="s">
        <v>37</v>
      </c>
      <c r="E11" s="17">
        <v>2</v>
      </c>
      <c r="F11" s="18">
        <v>0</v>
      </c>
      <c r="G11" s="10">
        <v>424.99000000000001</v>
      </c>
      <c r="H11" s="19" t="s">
        <v>38</v>
      </c>
      <c r="J11" s="11" t="s">
        <v>39</v>
      </c>
      <c r="K11" s="20"/>
      <c r="L11" s="13">
        <f t="shared" si="1"/>
        <v>849.98000000000002</v>
      </c>
      <c r="N11" s="6" t="s">
        <v>40</v>
      </c>
      <c r="O11" s="7"/>
    </row>
    <row r="12">
      <c r="B12" s="23"/>
      <c r="C12" s="24"/>
      <c r="D12" s="24"/>
      <c r="E12" s="24"/>
      <c r="F12" s="25"/>
      <c r="G12" s="10">
        <v>0</v>
      </c>
      <c r="H12" s="24"/>
      <c r="I12" s="24"/>
      <c r="J12" s="27"/>
      <c r="K12" s="12">
        <f t="shared" ref="K12:K32" si="2">if(OR(G12=0,F12=0), 0, G12*F12)</f>
        <v>0</v>
      </c>
      <c r="L12" s="13">
        <f t="shared" si="1"/>
        <v>0</v>
      </c>
      <c r="N12" s="14" t="s">
        <v>12</v>
      </c>
      <c r="O12" s="15">
        <f>sum(L:L)</f>
        <v>4085.4699999999998</v>
      </c>
    </row>
    <row r="13">
      <c r="B13" s="28" t="s">
        <v>41</v>
      </c>
      <c r="C13" s="17"/>
      <c r="D13" s="17"/>
      <c r="E13" s="17"/>
      <c r="F13" s="17"/>
      <c r="G13" s="32">
        <v>0</v>
      </c>
      <c r="J13" s="11"/>
      <c r="K13" s="12">
        <f t="shared" si="2"/>
        <v>0</v>
      </c>
      <c r="L13" s="13">
        <f t="shared" si="1"/>
        <v>0</v>
      </c>
      <c r="N13" s="21" t="s">
        <v>17</v>
      </c>
      <c r="O13" s="22">
        <v>194.40000000000001</v>
      </c>
    </row>
    <row r="14">
      <c r="B14" s="16"/>
      <c r="C14" s="17" t="s">
        <v>42</v>
      </c>
      <c r="D14" s="17" t="s">
        <v>43</v>
      </c>
      <c r="E14" s="17">
        <v>1</v>
      </c>
      <c r="F14" s="17">
        <v>0</v>
      </c>
      <c r="G14" s="10">
        <v>19.989999999999998</v>
      </c>
      <c r="H14" s="19" t="s">
        <v>44</v>
      </c>
      <c r="I14" s="17"/>
      <c r="J14" s="11" t="s">
        <v>28</v>
      </c>
      <c r="K14" s="12">
        <f t="shared" si="2"/>
        <v>0</v>
      </c>
      <c r="L14" s="13">
        <f t="shared" si="1"/>
        <v>19.989999999999998</v>
      </c>
      <c r="N14" s="21" t="s">
        <v>21</v>
      </c>
      <c r="O14" s="22">
        <v>60</v>
      </c>
    </row>
    <row r="15">
      <c r="B15" s="16"/>
      <c r="C15" s="17" t="s">
        <v>45</v>
      </c>
      <c r="D15" s="17" t="s">
        <v>46</v>
      </c>
      <c r="E15" s="17">
        <v>1</v>
      </c>
      <c r="F15" s="17">
        <v>1</v>
      </c>
      <c r="G15" s="10">
        <v>120</v>
      </c>
      <c r="H15" s="19" t="s">
        <v>47</v>
      </c>
      <c r="I15" s="17"/>
      <c r="J15" s="11" t="s">
        <v>48</v>
      </c>
      <c r="K15" s="20">
        <f t="shared" si="2"/>
        <v>120</v>
      </c>
      <c r="L15" s="13">
        <f t="shared" si="1"/>
        <v>120</v>
      </c>
      <c r="N15" s="21" t="s">
        <v>22</v>
      </c>
      <c r="O15" s="13">
        <f>O12*0.0825</f>
        <v>337.05127499999998</v>
      </c>
    </row>
    <row r="16">
      <c r="B16" s="16"/>
      <c r="C16" s="17" t="s">
        <v>49</v>
      </c>
      <c r="D16" s="17" t="s">
        <v>50</v>
      </c>
      <c r="E16" s="17">
        <v>1</v>
      </c>
      <c r="F16" s="17">
        <v>1</v>
      </c>
      <c r="G16" s="10">
        <v>20.989999999999998</v>
      </c>
      <c r="H16" s="19" t="s">
        <v>51</v>
      </c>
      <c r="J16" s="11" t="s">
        <v>52</v>
      </c>
      <c r="K16" s="20">
        <f t="shared" si="2"/>
        <v>20.989999999999998</v>
      </c>
      <c r="L16" s="13">
        <f t="shared" si="1"/>
        <v>20.989999999999998</v>
      </c>
      <c r="N16" s="29" t="s">
        <v>24</v>
      </c>
      <c r="O16" s="30">
        <f>sum(O12:O15)*0.1</f>
        <v>467.69212750000003</v>
      </c>
    </row>
    <row r="17">
      <c r="B17" s="16"/>
      <c r="G17" s="10">
        <v>0</v>
      </c>
      <c r="J17" s="11"/>
      <c r="K17" s="12">
        <f t="shared" si="2"/>
        <v>0</v>
      </c>
      <c r="L17" s="13">
        <f t="shared" si="1"/>
        <v>0</v>
      </c>
      <c r="N17" s="1" t="s">
        <v>29</v>
      </c>
      <c r="O17" s="31">
        <f>SUM(O12:O16)</f>
        <v>5144.6134030000003</v>
      </c>
    </row>
    <row r="18">
      <c r="B18" s="23"/>
      <c r="C18" s="17"/>
      <c r="D18" s="17"/>
      <c r="E18" s="17"/>
      <c r="F18" s="17"/>
      <c r="G18" s="26">
        <v>0</v>
      </c>
      <c r="J18" s="11"/>
      <c r="K18" s="12">
        <f t="shared" si="2"/>
        <v>0</v>
      </c>
      <c r="L18" s="13">
        <f t="shared" si="1"/>
        <v>0</v>
      </c>
    </row>
    <row r="19">
      <c r="B19" s="28" t="s">
        <v>53</v>
      </c>
      <c r="C19" s="33"/>
      <c r="D19" s="33"/>
      <c r="E19" s="33"/>
      <c r="F19" s="33"/>
      <c r="G19" s="32">
        <v>0</v>
      </c>
      <c r="H19" s="33"/>
      <c r="I19" s="33"/>
      <c r="J19" s="34"/>
      <c r="K19" s="12">
        <f t="shared" si="2"/>
        <v>0</v>
      </c>
      <c r="L19" s="13">
        <f t="shared" si="1"/>
        <v>0</v>
      </c>
    </row>
    <row r="20">
      <c r="B20" s="16"/>
      <c r="C20" s="17" t="s">
        <v>54</v>
      </c>
      <c r="D20" s="17" t="s">
        <v>55</v>
      </c>
      <c r="E20" s="17">
        <v>1</v>
      </c>
      <c r="F20" s="17">
        <v>0</v>
      </c>
      <c r="G20" s="10">
        <v>194.99000000000001</v>
      </c>
      <c r="H20" s="19" t="s">
        <v>56</v>
      </c>
      <c r="I20" s="17"/>
      <c r="J20" s="11" t="s">
        <v>57</v>
      </c>
      <c r="K20" s="12">
        <f t="shared" si="2"/>
        <v>0</v>
      </c>
      <c r="L20" s="13">
        <f t="shared" si="1"/>
        <v>194.99000000000001</v>
      </c>
    </row>
    <row r="21">
      <c r="B21" s="16"/>
      <c r="C21" s="17" t="s">
        <v>58</v>
      </c>
      <c r="D21" s="17" t="s">
        <v>59</v>
      </c>
      <c r="E21" s="17">
        <v>1</v>
      </c>
      <c r="F21" s="17">
        <v>1</v>
      </c>
      <c r="G21" s="10">
        <v>197</v>
      </c>
      <c r="H21" s="19" t="s">
        <v>60</v>
      </c>
      <c r="J21" s="11" t="s">
        <v>61</v>
      </c>
      <c r="K21" s="20">
        <f t="shared" si="2"/>
        <v>197</v>
      </c>
      <c r="L21" s="13">
        <f t="shared" si="1"/>
        <v>197</v>
      </c>
    </row>
    <row r="22">
      <c r="B22" s="16"/>
      <c r="C22" s="17" t="s">
        <v>62</v>
      </c>
      <c r="D22" s="17" t="s">
        <v>63</v>
      </c>
      <c r="E22" s="17">
        <v>1</v>
      </c>
      <c r="F22" s="17">
        <v>6</v>
      </c>
      <c r="G22" s="10">
        <v>6.54</v>
      </c>
      <c r="H22" s="19" t="s">
        <v>64</v>
      </c>
      <c r="J22" s="11" t="s">
        <v>65</v>
      </c>
      <c r="K22" s="20">
        <f t="shared" si="2"/>
        <v>39.240000000000002</v>
      </c>
      <c r="L22" s="13">
        <f t="shared" si="1"/>
        <v>6.54</v>
      </c>
    </row>
    <row r="23">
      <c r="B23" s="16"/>
      <c r="C23" s="17" t="s">
        <v>66</v>
      </c>
      <c r="D23" s="17" t="s">
        <v>67</v>
      </c>
      <c r="E23" s="17">
        <v>1</v>
      </c>
      <c r="F23" s="17">
        <v>1</v>
      </c>
      <c r="G23" s="10">
        <v>11.99</v>
      </c>
      <c r="H23" s="19" t="s">
        <v>68</v>
      </c>
      <c r="J23" s="11" t="s">
        <v>69</v>
      </c>
      <c r="K23" s="20">
        <f t="shared" si="2"/>
        <v>11.99</v>
      </c>
      <c r="L23" s="13">
        <f t="shared" si="1"/>
        <v>11.99</v>
      </c>
    </row>
    <row r="24">
      <c r="B24" s="16"/>
      <c r="C24" s="17" t="s">
        <v>70</v>
      </c>
      <c r="D24" s="17" t="s">
        <v>71</v>
      </c>
      <c r="E24" s="17">
        <v>1</v>
      </c>
      <c r="F24" s="17">
        <v>0</v>
      </c>
      <c r="G24" s="10">
        <v>0</v>
      </c>
      <c r="J24" s="11" t="s">
        <v>72</v>
      </c>
      <c r="K24" s="12">
        <f t="shared" si="2"/>
        <v>0</v>
      </c>
      <c r="L24" s="13">
        <f t="shared" si="1"/>
        <v>0</v>
      </c>
    </row>
    <row r="25">
      <c r="B25" s="23"/>
      <c r="C25" s="35"/>
      <c r="D25" s="24"/>
      <c r="E25" s="24"/>
      <c r="F25" s="24"/>
      <c r="G25" s="26">
        <v>0</v>
      </c>
      <c r="H25" s="24"/>
      <c r="I25" s="24"/>
      <c r="J25" s="27"/>
      <c r="K25" s="12">
        <f t="shared" si="2"/>
        <v>0</v>
      </c>
      <c r="L25" s="13">
        <f t="shared" si="1"/>
        <v>0</v>
      </c>
    </row>
    <row r="26">
      <c r="B26" s="28" t="s">
        <v>73</v>
      </c>
      <c r="F26" s="36"/>
      <c r="G26" s="10">
        <v>0</v>
      </c>
      <c r="J26" s="37"/>
      <c r="K26" s="12">
        <f t="shared" si="2"/>
        <v>0</v>
      </c>
      <c r="L26" s="13">
        <f t="shared" si="1"/>
        <v>0</v>
      </c>
    </row>
    <row r="27">
      <c r="B27" s="16"/>
      <c r="C27" s="17" t="s">
        <v>74</v>
      </c>
      <c r="D27" s="17" t="s">
        <v>75</v>
      </c>
      <c r="E27" s="17">
        <v>1</v>
      </c>
      <c r="F27" s="18">
        <v>1</v>
      </c>
      <c r="G27" s="10">
        <v>56</v>
      </c>
      <c r="H27" s="19" t="s">
        <v>76</v>
      </c>
      <c r="J27" s="17" t="s">
        <v>77</v>
      </c>
      <c r="K27" s="20">
        <f t="shared" si="2"/>
        <v>56</v>
      </c>
      <c r="L27" s="13">
        <f t="shared" si="1"/>
        <v>56</v>
      </c>
    </row>
    <row r="28">
      <c r="B28" s="16"/>
      <c r="C28" s="17" t="s">
        <v>78</v>
      </c>
      <c r="D28" s="17" t="s">
        <v>79</v>
      </c>
      <c r="E28" s="17">
        <v>1</v>
      </c>
      <c r="F28" s="18">
        <v>0</v>
      </c>
      <c r="G28" s="10">
        <v>0</v>
      </c>
      <c r="J28" s="11" t="s">
        <v>80</v>
      </c>
      <c r="K28" s="12">
        <f t="shared" si="2"/>
        <v>0</v>
      </c>
      <c r="L28" s="13">
        <f t="shared" si="1"/>
        <v>0</v>
      </c>
    </row>
    <row r="29">
      <c r="B29" s="16"/>
      <c r="C29" s="17" t="s">
        <v>81</v>
      </c>
      <c r="D29" s="17" t="s">
        <v>82</v>
      </c>
      <c r="E29" s="17">
        <v>1</v>
      </c>
      <c r="F29" s="18">
        <v>1</v>
      </c>
      <c r="G29" s="10">
        <v>15.99</v>
      </c>
      <c r="H29" s="19" t="s">
        <v>83</v>
      </c>
      <c r="J29" s="11" t="s">
        <v>84</v>
      </c>
      <c r="K29" s="20">
        <f t="shared" si="2"/>
        <v>15.99</v>
      </c>
      <c r="L29" s="13">
        <f t="shared" si="1"/>
        <v>15.99</v>
      </c>
    </row>
    <row r="30">
      <c r="B30" s="16"/>
      <c r="D30" s="17" t="s">
        <v>85</v>
      </c>
      <c r="E30" s="17">
        <v>1</v>
      </c>
      <c r="F30" s="18">
        <v>0</v>
      </c>
      <c r="G30" s="10">
        <v>0</v>
      </c>
      <c r="J30" s="11" t="s">
        <v>72</v>
      </c>
      <c r="K30" s="12">
        <f t="shared" si="2"/>
        <v>0</v>
      </c>
      <c r="L30" s="13">
        <f t="shared" si="1"/>
        <v>0</v>
      </c>
    </row>
    <row r="31">
      <c r="B31" s="16"/>
      <c r="C31" s="17" t="s">
        <v>86</v>
      </c>
      <c r="D31" s="17" t="s">
        <v>87</v>
      </c>
      <c r="E31" s="17">
        <v>1</v>
      </c>
      <c r="F31" s="18">
        <v>1</v>
      </c>
      <c r="G31" s="10">
        <v>12</v>
      </c>
      <c r="H31" s="19" t="s">
        <v>88</v>
      </c>
      <c r="J31" s="11" t="s">
        <v>89</v>
      </c>
      <c r="K31" s="20">
        <f t="shared" si="2"/>
        <v>12</v>
      </c>
      <c r="L31" s="13">
        <f t="shared" si="1"/>
        <v>12</v>
      </c>
    </row>
    <row r="32">
      <c r="B32" s="23"/>
      <c r="C32" s="24"/>
      <c r="D32" s="24"/>
      <c r="E32" s="24"/>
      <c r="F32" s="25"/>
      <c r="G32" s="26">
        <v>0</v>
      </c>
      <c r="H32" s="24"/>
      <c r="I32" s="24"/>
      <c r="J32" s="27"/>
      <c r="K32" s="38">
        <f t="shared" si="2"/>
        <v>0</v>
      </c>
      <c r="L32" s="30">
        <f t="shared" si="1"/>
        <v>0</v>
      </c>
    </row>
  </sheetData>
  <mergeCells count="7">
    <mergeCell ref="N2:O2"/>
    <mergeCell ref="B3:B6"/>
    <mergeCell ref="B7:B12"/>
    <mergeCell ref="N11:O11"/>
    <mergeCell ref="B13:B18"/>
    <mergeCell ref="B19:B25"/>
    <mergeCell ref="B26:B32"/>
  </mergeCells>
  <hyperlinks>
    <hyperlink r:id="rId1" ref="H4"/>
    <hyperlink r:id="rId2" ref="H5"/>
    <hyperlink r:id="rId3" ref="H8"/>
    <hyperlink r:id="rId4" ref="H9"/>
    <hyperlink r:id="rId5" ref="H10"/>
    <hyperlink r:id="rId6" ref="H11"/>
    <hyperlink r:id="rId7" ref="H14"/>
    <hyperlink r:id="rId8" ref="H15"/>
    <hyperlink r:id="rId9" ref="H16"/>
    <hyperlink r:id="rId10" ref="H20"/>
    <hyperlink r:id="rId11" ref="H21"/>
    <hyperlink r:id="rId12" ref="H22"/>
    <hyperlink r:id="rId13" ref="H23"/>
    <hyperlink r:id="rId14" ref="H27"/>
    <hyperlink r:id="rId15" ref="H29"/>
    <hyperlink r:id="rId16" ref="H3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